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58652e9d71e08c7/- National Economics University/Desktop/leduybao612003-Track1_Day28_2A202602749_LeDuyBao_AIProductRoadmap/"/>
    </mc:Choice>
  </mc:AlternateContent>
  <xr:revisionPtr revIDLastSave="0" documentId="11_CFEB8F510815C108372B3E4B523CA4CBFD8D1C6F" xr6:coauthVersionLast="47" xr6:coauthVersionMax="47" xr10:uidLastSave="{00000000-0000-0000-0000-000000000000}"/>
  <bookViews>
    <workbookView xWindow="-120" yWindow="-120" windowWidth="29040" windowHeight="15840"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C9" i="8"/>
  <c r="B9" i="8"/>
  <c r="B8" i="8"/>
  <c r="C8" i="8" s="1"/>
  <c r="C8" i="7"/>
  <c r="D8" i="7" s="1"/>
  <c r="C7" i="7"/>
  <c r="D7" i="7" s="1"/>
  <c r="C6" i="7"/>
  <c r="D6" i="7" s="1"/>
  <c r="C5" i="7"/>
  <c r="D5" i="7" s="1"/>
  <c r="C4" i="7"/>
  <c r="D4" i="7" s="1"/>
  <c r="M8" i="4"/>
  <c r="J8" i="4"/>
  <c r="K8" i="4" s="1"/>
  <c r="L8" i="4" s="1"/>
  <c r="M7" i="4"/>
  <c r="J7" i="4"/>
  <c r="K7" i="4" s="1"/>
  <c r="L7" i="4" s="1"/>
  <c r="M6" i="4"/>
  <c r="B7" i="8" s="1"/>
  <c r="C7" i="8" s="1"/>
  <c r="J6" i="4"/>
  <c r="K6" i="4" s="1"/>
  <c r="L6" i="4" s="1"/>
  <c r="J5" i="4"/>
  <c r="K5" i="4" s="1"/>
  <c r="L5" i="4" s="1"/>
  <c r="O14" i="3"/>
  <c r="M14" i="3"/>
  <c r="N14" i="3" s="1"/>
  <c r="O13" i="3"/>
  <c r="M13" i="3"/>
  <c r="N13" i="3" s="1"/>
  <c r="O12" i="3"/>
  <c r="M12" i="3"/>
  <c r="N12" i="3" s="1"/>
  <c r="O11" i="3"/>
  <c r="M11" i="3"/>
  <c r="N11" i="3" s="1"/>
  <c r="O10" i="3"/>
  <c r="M10" i="3"/>
  <c r="O9" i="3"/>
  <c r="M9" i="3"/>
  <c r="O8" i="3"/>
  <c r="M8" i="3"/>
  <c r="O7" i="3"/>
  <c r="M7" i="3"/>
  <c r="O6" i="3"/>
  <c r="B6" i="8" s="1"/>
  <c r="M6" i="3"/>
  <c r="O5" i="3"/>
  <c r="M5" i="3"/>
  <c r="B5" i="8" s="1"/>
  <c r="B12" i="2"/>
  <c r="N9" i="3" l="1"/>
  <c r="B11" i="8"/>
  <c r="C11" i="8" s="1"/>
  <c r="N6" i="3"/>
  <c r="N8" i="3"/>
  <c r="N10" i="3"/>
  <c r="C6" i="8"/>
  <c r="C5" i="8"/>
  <c r="B12" i="8"/>
  <c r="C12" i="8" s="1"/>
  <c r="N7" i="3"/>
  <c r="N5" i="3"/>
</calcChain>
</file>

<file path=xl/sharedStrings.xml><?xml version="1.0" encoding="utf-8"?>
<sst xmlns="http://schemas.openxmlformats.org/spreadsheetml/2006/main" count="304" uniqueCount="284">
  <si>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</si>
  <si>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</si>
  <si>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</si>
  <si>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</si>
  <si>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</si>
  <si>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</si>
  <si>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</si>
  <si>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</si>
  <si>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</si>
  <si>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</si>
  <si>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</si>
  <si>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</si>
  <si>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</si>
  <si>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</si>
  <si>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</si>
  <si>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</si>
  <si>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</si>
  <si>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</si>
  <si>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</si>
  <si>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</si>
  <si>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</si>
  <si>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</si>
  <si>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Đã đọc 9 dòng kinh tế Đề 1 để hiểu cấu trúc. Số Gateway là giả định kế hoạch do Lê Duy Bảo lập. Chưa phải số đo. Người thực hiện Lê Duy Bảo mã học viên 2A202602749 hình thức cá nhân phụ trách toàn bộ.</t>
  </si>
  <si>
    <t>Bối cảnh, sản phẩm, "1 việc" là gì</t>
  </si>
  <si>
    <t>Giả thuyết và chỉ số ở trang 1</t>
  </si>
  <si>
    <t>Viết giả thuyết theo đúng "1 việc" của đề</t>
  </si>
  <si>
    <t>Sản phẩm VinGuard Gateway. Persona nhân viên quản lý hạ tầng và tài nguyên AI. Một việc là một request suy luận đi qua Gateway. Cách tính sản lượng và chi phí tính mỗi request gốc cộng thêm mỗi lần retry và fallback thành một lần gọi có chi phí riêng. Luồng tham chiếu gồm nhận request rồi kiểm tra quyền và chính sách dữ liệu cùng ngân sách rồi lập kế hoạch định tuyến rồi gọi provider đủ điều kiện rồi trả kết quả và ghi nhận chi phí cùng trạng thái.</t>
  </si>
  <si>
    <t>6 việc gợi ý</t>
  </si>
  <si>
    <t>Trang 1, cột B–C; nhóm được thêm việc của mình</t>
  </si>
  <si>
    <t>Giữ, bỏ hay đổi thứ tự đều phải ghi lý do ở cột Q</t>
  </si>
  <si>
    <t>Đã đọc 6 việc gợi ý Đề 1 để học cách viết. Đã chuyển thành 6 việc Gateway gắn với giá trị người dùng trong trang 1. Không coi đây là đề Gateway có sẵn.</t>
  </si>
  <si>
    <t>Kết quả đánh giá đã có (bộ đề, cổng phát hành)</t>
  </si>
  <si>
    <t>Cổng đánh giá ở trang 2; việc cần làm trước ở trang 3</t>
  </si>
  <si>
    <t>Đề 2, 3: kết luận chưa phải "Phát hành" → có việc phải làm trước</t>
  </si>
  <si>
    <t>Đã đọc kết quả đánh giá Đề 1. Gateway chưa có bộ eval đo và chưa phát hành. Các cổng ở trang 2 là mục tiêu đề xuất cần kiểm chứng. Chưa gọi ngưỡng tự đề xuất là yêu cầu đã phê duyệt.</t>
  </si>
  <si>
    <t>Chuyên gia và số giờ của họ</t>
  </si>
  <si>
    <t>Dòng "Điều kiện cần" ở trang 3; ô "Cần gì" ở trang 5</t>
  </si>
  <si>
    <t>Dẫn đúng số giờ trong hồ sơ</t>
  </si>
  <si>
    <t>Đã đọc giờ chuyên gia Đề 1. Gateway do Lê Duy Bảo thực hiện toàn bộ. Chưa có giờ chuyên gia ngoài. Thời gian trong lộ trình là dự kiến nội bộ.</t>
  </si>
  <si>
    <t>Gợi ý về người duyệt và mức tự động</t>
  </si>
  <si>
    <t>Trang 2, cột H và I</t>
  </si>
  <si>
    <t>Đề 3: bác sĩ của bệnh viện không tính vào chi phí</t>
  </si>
  <si>
    <t>Đã đọc gợi ý duyệt Đề 1. Gateway phân biệt duyệt cấu hình routing với duyệt từng request thời gian thực. Người duyệt của nhóm cung cấp là Lê Duy Bảo. Chi tiết JEV lập kế hoạch khi bất định và Rule Classifier xử lý trường hợp rõ ràng là hạng mục dự kiến vì repo chưa xác nhận.</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</si>
  <si>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</si>
  <si>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</si>
  <si>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</si>
  <si>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</si>
  <si>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</si>
  <si>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</si>
  <si>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</si>
  <si>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</si>
  <si>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</si>
  <si>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</si>
  <si>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</si>
  <si>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</si>
  <si>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</si>
  <si>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</si>
  <si>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</si>
  <si>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</si>
  <si>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</si>
  <si>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</si>
  <si>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</si>
  <si>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</si>
  <si>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</si>
  <si>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Định tuyến request đến model đủ chất lượng với chi phí phù hợp</t>
  </si>
  <si>
    <t>Giảm chi phí trung bình mỗi request mà chất lượng đầu ra vẫn giữ</t>
  </si>
  <si>
    <t>Ta tin rằng làm định tuyến theo chất lượng và chi phí cho nhân viên quản lý hạ tầng và tài nguyên AI sẽ đạt chi phí trung bình mỗi request giảm mà chất lượng đầu ra vẫn giữ.</t>
  </si>
  <si>
    <t>Tỷ lệ định tuyến đúng nhóm chất lượng từ 95 phần trăm trở lên trên bộ mẫu 300 request gồm request thường và request phức tạp và tiếng Việt và vượt ngân sách và provider lỗi và vi phạm policy. Cách tính bằng số request đúng chia tổng mẫu. Baseline chưa có và sẽ lập trong 0 đến 3 tháng. Phạm vi pool đã duyệt. Thời gian kiểm chứng 90 ngày. Đây là mục tiêu đề xuất.</t>
  </si>
  <si>
    <t>Tự làm</t>
  </si>
  <si>
    <t>Chọn Tự làm vì logic định tuyến gắn với policy và ngân sách nội bộ. Công cụ chung chưa phản ánh quy tắc riêng. Công sức ở mức 2 nên làm trước để tạo bằng chứng cho các việc sau. Thứ hạng 1 nên giữ làm việc ưu tiên đầu tiên.</t>
  </si>
  <si>
    <t>Kiểm soát ngân sách theo team và project</t>
  </si>
  <si>
    <t>Team không vượt ngân sách mà vẫn chạy đủ request cần thiết</t>
  </si>
  <si>
    <t>Ta tin rằng làm kiểm soát ngân sách theo team và project cho nhân viên quản lý tài nguyên AI sẽ đạt tỷ lệ request vượt ngân sách không được duyệt giảm rõ rệt.</t>
  </si>
  <si>
    <t>Tỷ lệ request vượt ngân sách bị chặn đúng từ 98 phần trăm trở lên trên 300 request mẫu gồm ca vượt ngân sách và ca thường. Cách tính bằng số ca chặn đúng chia tổng ca vượt. Baseline chưa có và sẽ lập trong 0 đến 3 tháng. Phạm vi 10 team thử nghiệm. Thời gian kiểm chứng 90 ngày. Đây là mục tiêu đề xuất.</t>
  </si>
  <si>
    <t>Chọn Tự làm vì quy tắc ngân sách gắn với phân quyền nội bộ. Tái sử dụng công cụ ngoài cần nhiều công tích hợp. Thứ hạng 3 nên đặt ở giai đoạn Bây giờ cùng việc định tuyến.</t>
  </si>
  <si>
    <t>Retry và fallback có giới hạn khi provider lỗi</t>
  </si>
  <si>
    <t>Tỷ lệ request thành công sau sự cố provider tăng mà chi phí phát sinh vẫn kiểm soát</t>
  </si>
  <si>
    <t>Ta tin rằng làm retry và fallback có giới hạn cho nhân viên vận hành AI sẽ đạt tỷ lệ thành công sau lỗi provider tăng mà số lần gọi thêm vẫn trong giới hạn.</t>
  </si>
  <si>
    <t>Tỷ lệ fallback đúng lúc từ 98 phần trăm trở lên và số lần gọi thêm trung bình không quá 1,2 lần mỗi request gốc trên 300 request mẫu gồm provider lỗi và quá tải. Cách tính theo log Gateway. Baseline chưa có và sẽ lập trong 0 đến 3 tháng. Phạm vi pool đã duyệt. Thời gian kiểm chứng 90 ngày. Đây là mục tiêu đề xuất.</t>
  </si>
  <si>
    <t>Chọn Tự làm vì giới hạn retry gắn với ngân sách và policy riêng. Mua thư viện chung vẫn cần cấu hình lại nhiều. Thứ hạng 2 nên làm ngay sau định tuyến.</t>
  </si>
  <si>
    <t>Theo dõi usage và cost và latency và lỗi để quản trị tài nguyên</t>
  </si>
  <si>
    <t>Mọi request có log chi phí và độ trễ để truy vấn theo team</t>
  </si>
  <si>
    <t>Ta tin rằng làm dashboard usage và cost và latency và lỗi cho nhân viên quản lý tài nguyên AI sẽ đạt thời gian tra cứu chi phí theo team giảm rõ rệt.</t>
  </si>
  <si>
    <t>Tỷ lệ request có log đầy đủ chi phí và độ trễ từ 99 phần trăm trở lên trên 500 request vận hành thử. Độ trễ overhead Gateway p95 không quá 400 mili giây chưa kể thời gian provider ở concurrency 20. Baseline chưa có và sẽ lập trong 0 đến 3 tháng. Thời gian kiểm chứng 60 ngày. Đây là mục tiêu đề xuất.</t>
  </si>
  <si>
    <t>Mua</t>
  </si>
  <si>
    <t>Chọn Mua cho backend log và dashboard có sẵn để tái sử dụng. Công tích hợp gồm gắn mã team và chi phí retry vào log hiện có. Logic định tuyến và policy vẫn tự làm. Thứ hạng 4 nên đặt ở giai đoạn Tiếp theo.</t>
  </si>
  <si>
    <t>Áp dụng quyền truy cập và chính sách dữ liệu và rule override</t>
  </si>
  <si>
    <t>Không có request vi phạm policy bị lọt qua Gateway</t>
  </si>
  <si>
    <t>Ta tin rằng làm kiểm tra quyền và chính sách dữ liệu cùng rule override cho nhân viên quản trị AI sẽ đạt tỷ lệ vi phạm lọt bằng 0 trên mẫu kiểm tra.</t>
  </si>
  <si>
    <t>Số vi phạm policy lọt bằng 0 trên 300 request mẫu gồm vi phạm dữ liệu và vượt quyền và rule override. Cách tính bằng kiểm tra log và kết quả chặn. Baseline chưa có và sẽ lập trong 0 đến 3 tháng. Phạm vi policy đã duyệt. Thời gian kiểm chứng 90 ngày. Đây là mục tiêu đề xuất.</t>
  </si>
  <si>
    <t>Chọn Tự làm vì chính sách dữ liệu và phân quyền là năng lực riêng. Rủi ro bị giải pháp sẵn có thay thế ở mức 0,3 vì tác vụ một model miễn phí không thay được quản trị và vận hành. Mức tự tin 0,5 vì chưa có bộ eval đo.</t>
  </si>
  <si>
    <t>Đánh giá chất lượng routing và quản lý phiên bản policy</t>
  </si>
  <si>
    <t>Mọi phiên bản policy đều có kết quả eval và rollback nhanh</t>
  </si>
  <si>
    <t>Ta tin rằng làm bộ eval routing và quản lý phiên bản policy cho nhân viên quản trị AI sẽ đạt thời gian rollback dưới 15 phút khi có lỗi.</t>
  </si>
  <si>
    <t>Tỷ lệ phiên bản policy có kết quả eval từ 100 phần trăm và thời gian rollback dưới 15 phút trên 3 lần diễn tập. Bộ mẫu 300 request gồm đủ 6 nhóm. Baseline chưa có và sẽ lập trong 0 đến 3 tháng. Thời gian kiểm chứng 90 ngày. Đây là mục tiêu đề xuất.</t>
  </si>
  <si>
    <t>Chọn Tự làm vì bộ eval cần phản ánh pool model và policy riêng. Dữ liệu và khả năng đánh giá ở mức thấp nên mức tự tin 0,5. Việc này hỗ trợ cổng Mức 1 và Mức 2 nên làm trong Bây giờ.</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</si>
  <si>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</si>
  <si>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</si>
  <si>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</si>
  <si>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</si>
  <si>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</si>
  <si>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</si>
  <si>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</si>
  <si>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</si>
  <si>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</si>
  <si>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</si>
  <si>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</si>
  <si>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</si>
  <si>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</si>
  <si>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</si>
  <si>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</si>
  <si>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Thủ công có ghi log</t>
  </si>
  <si>
    <t>AI ghi nhận request và chi phí và độ trễ. AI chưa tự chọn model.</t>
  </si>
  <si>
    <t>Lê Duy Bảo chọn model và policy cho từng nhóm request. Lê Duy Bảo duyệt 100 phần trăm request trong giai đoạn tạo baseline. Không yêu cầu duyệt mọi request thời gian thực ở các mức sau.</t>
  </si>
  <si>
    <t>Mức khởi đầu phục vụ tạo baseline.</t>
  </si>
  <si>
    <t>Cần log Gateway và bảng chi phí theo team. Cần thông báo cho người dùng khi tương tác với AI theo quy định hiện hành.</t>
  </si>
  <si>
    <t>Thực hiện trong tháng 1 và tháng 2.</t>
  </si>
  <si>
    <t>Người của mình</t>
  </si>
  <si>
    <t>Đề xuất có duyệt</t>
  </si>
  <si>
    <t>AI đề xuất phương án routing và cảnh báo vượt ngân sách và vi phạm. AI chưa tự gọi provider khi chưa duyệt.</t>
  </si>
  <si>
    <t>Lê Duy Bảo duyệt cấu hình routing và duyệt 30 phần trăm request gồm ca gắn cờ và mẫu ngẫu nhiên. Lê Duy Bảo xử lý ca AI thiếu chắc chắn.</t>
  </si>
  <si>
    <t>Tỷ lệ đề xuất đúng từ 90 phần trăm trở lên và chuyển xử lý đúng từ 95 phần trăm trở lên trên 300 request mẫu gồm 40 phần trăm thường và 20 phần trăm phức tạp và 15 phần trăm tiếng Việt và 10 phần trăm vượt ngân sách và 10 phần trăm provider lỗi và 5 phần trăm vi phạm policy. Chi phí trung bình mỗi request không vượt 1700 đồng. Overhead Gateway p95 không vượt 400 mili giây chưa kể thời gian provider ở concurrency 20. Không có vi phạm lọt. Lê Duy Bảo xác nhận. Đây là mục tiêu đề xuất.</t>
  </si>
  <si>
    <t>Cần bộ mẫu 300 request và pool model đã duyệt và chính sách dữ liệu phiên bản 1. Cần hạ tầng log và đo overhead tách khỏi thời gian provider.</t>
  </si>
  <si>
    <t>Dự kiến đạt trong tháng 3.</t>
  </si>
  <si>
    <t>Tự động trong phạm vi duyệt</t>
  </si>
  <si>
    <t>AI tự định tuyến trong pool và policy đã duyệt. AI tự retry và fallback trong giới hạn và tự chuyển xử lý khi vượt phạm vi hoặc thiếu chắc chắn hoặc vi phạm điều kiện.</t>
  </si>
  <si>
    <t>Lê Duy Bảo phê duyệt pool và policy trước khi áp dụng. Lê Duy Bảo xử lý ca chuyển lên và hậu kiểm 10 phần trăm theo mẫu ngẫu nhiên phân tầng. Không duyệt từng request thời gian thực.</t>
  </si>
  <si>
    <t>Tỷ lệ định tuyến đúng từ 95 phần trăm trở lên và fallback đúng lúc từ 98 phần trăm trở lên và vi phạm lọt bằng 0 trên 500 request mẫu với thành phần như Mức 1. Chi phí trung bình mỗi request không vượt 1100 đồng. Overhead p95 không vượt 350 mili giây ở concurrency 30. Đo streaming tách thời gian đến token đầu và thời gian hoàn tất. Có tiêu chí dừng và rollback khi có 1 vi phạm dữ liệu lọt. Lê Duy Bảo xác nhận. Đây là mục tiêu đề xuất.</t>
  </si>
  <si>
    <t>Cần bộ mẫu 500 request và hàng chờ xử lý ca chuyển và quy trình rollback. Cần tuân thủ chính sách dữ liệu và lưu vết đầy đủ.</t>
  </si>
  <si>
    <t>Dự kiến đạt trong tháng 6 nếu qua cổng Mức 1.</t>
  </si>
  <si>
    <t>Chưa triển khai tự điều chỉnh có giám sát</t>
  </si>
  <si>
    <t>AI chưa tự điều chỉnh policy. Mọi điều chỉnh vẫn do Lê Duy Bảo thực hiện với kiểm soát phiên bản và rollback.</t>
  </si>
  <si>
    <t>Lê Duy Bảo theo dõi bảng giám sát và xử lý ngoại lệ. Lê Duy Bảo hậu kiểm 5 phần trăm theo mẫu ngẫu nhiên. Quyết định cấp doanh nghiệp cần người có thẩm quyền thực tế khi triển khai.</t>
  </si>
  <si>
    <t>Chưa triển khai trong 12 tháng. Điều kiện xem lại sau tháng 12 gồm 7200 request vận hành không có vi phạm nghiêm trọng và đề xuất điều chỉnh đúng từ 98 phần trăm trở lên trên 500 ca và biên gộp giữ từ 60 phần trăm trở lên và rollback dưới 15 phút đã diễn tập. Không tăng tự động chỉ vì tiết kiệm chi phí. Lê Duy Bảo xác nhận. Đây là mục tiêu đề xuất.</t>
  </si>
  <si>
    <t>Cần dữ liệu vận hành đủ lớn và hiệu quả kinh tế và khả năng kiểm soát phiên bản. Chưa đủ bằng chứng nên giữ ở trạng thái chưa triển khai.</t>
  </si>
  <si>
    <t>Xem lại sau tháng 12.</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</si>
  <si>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</si>
  <si>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</si>
  <si>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</si>
  <si>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</si>
  <si>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</si>
  <si>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</si>
  <si>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</si>
  <si>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</si>
  <si>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</si>
  <si>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</si>
  <si>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</si>
  <si>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</si>
  <si>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</si>
  <si>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</si>
  <si>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chargeback theo request với 60 phần trăm doanh thu đến từ 25 phần trăm team dùng nhiều. Đơn giá chargeback 2800 đồng mỗi request là giả định kế hoạch chưa phải doanh thu đo.</t>
  </si>
  <si>
    <t>dòng 7</t>
  </si>
  <si>
    <t>Điều kiện dừng đã chọn (theo đề)</t>
  </si>
  <si>
    <t>NẾU doanh thu chargeback bình quân dưới 11,2 triệu đồng mỗi team trong 2 tháng liên tiếp trên ít nhất 10 team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</si>
  <si>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</si>
  <si>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</si>
  <si>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</si>
  <si>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</si>
  <si>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</si>
  <si>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</si>
  <si>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</si>
  <si>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</si>
  <si>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</si>
  <si>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</si>
  <si>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</si>
  <si>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Định tuyến và ngân sách và retry fallback có giới hạn và bộ eval phiên bản 1.</t>
  </si>
  <si>
    <t>Hoàn thiện quan sát và chính sách dữ liệu. Mở rộng lên 20 team khi qua cổng Mức 1.</t>
  </si>
  <si>
    <t>Xem xét chăm sóc theo team dùng nhiều và thử tự động sâu hơn khi đủ dữ liệu và biên gộp và kiểm soát. Mức 3 vẫn giữ chưa triển khai.</t>
  </si>
  <si>
    <t>Giả thuyết</t>
  </si>
  <si>
    <t>Ta tin rằng hoàn thiện bằng chứng và baseline trong phạm vi hẹp sẽ giúp quyết định lên Mức 2 có căn cứ.</t>
  </si>
  <si>
    <t>Ta tin rằng mở rộng có kiểm soát sau khi đạt cổng sẽ giúp tăng giá trị mà vẫn giữ tuân thủ.</t>
  </si>
  <si>
    <t>Ta tin rằng chỉ tăng tự động khi có đủ dữ liệu và hiệu quả kinh tế và kiểm soát sẽ giúp tránh rủi ro.</t>
  </si>
  <si>
    <t>Định tuyến đúng từ 95 phần trăm trên 300 request. Fallback đúng lúc từ 98 phần trăm. Vi phạm lọt bằng 0. Overhead p95 không quá 400 mili giây ở concurrency 20. Đây là mục tiêu đề xuất.</t>
  </si>
  <si>
    <t>Định tuyến đúng từ 95 phần trăm trên 500 request. Chi phí mỗi request không vượt 1100 đồng. Hậu kiểm 10 phần trăm. Đây là mục tiêu đề xuất.</t>
  </si>
  <si>
    <t>Đề xuất điều chỉnh đúng từ 98 phần trăm trên 500 ca và rollback dưới 15 phút và biên gộp từ 60 phần trăm. Đây là mục tiêu đề xuất.</t>
  </si>
  <si>
    <t>Mức tự động (trang 2)</t>
  </si>
  <si>
    <t>Mức 0 lên Mức 1.</t>
  </si>
  <si>
    <t>Mức 2 trong pool và policy đã duyệt.</t>
  </si>
  <si>
    <t>Giữ Mức 2. Mức 3 chưa triển khai.</t>
  </si>
  <si>
    <t>Cổng đánh giá</t>
  </si>
  <si>
    <t>Cổng Mức 1 trên 300 request như trang 2 do Lê Duy Bảo xác nhận.</t>
  </si>
  <si>
    <t>Cổng Mức 2 trên 500 request như trang 2 do Lê Duy Bảo xác nhận.</t>
  </si>
  <si>
    <t>Điều kiện xem lại Mức 3 sau tháng 12 như trang 2 do Lê Duy Bảo xác nhận.</t>
  </si>
  <si>
    <t>Điều kiện cần: dữ liệu / hạ tầng / tuân thủ</t>
  </si>
  <si>
    <t>Cần log Gateway và bộ mẫu 300 request và pool đã duyệt và chính sách dữ liệu phiên bản 1. Lê Duy Bảo dành thời gian tạo baseline.</t>
  </si>
  <si>
    <t>Cần bộ mẫu 500 request và hàng chờ xử lý ca chuyển và lưu vết đầy đủ. Chỉ mở rộng khi đạt cổng trước đó.</t>
  </si>
  <si>
    <t>Cần dữ liệu vận hành lớn và kiểm soát phiên bản và rollback đã diễn tập. Không gọi workload giả lập là pilot doanh nghiệp.</t>
  </si>
  <si>
    <t>Căn cứ kinh tế (số liệu của đề và trang 2)</t>
  </si>
  <si>
    <t>Chi phí AI 520 đồng cộng hạ tầng 180 đồng cộng duyệt theo tỷ lệ. Mức 1 khoảng 1700 đồng mỗi request. Mức 2 khoảng 1033 đồng mỗi request và biên gộp khoảng 63 phần trăm theo công thức từ giả định chargeback 2800 đồng. Kịch bản xấu token đầu ra tăng 30 phần trăm và fallback tăng gấp đôi vẫn giữ an toàn.</t>
  </si>
  <si>
    <t>Mở rộng khi Mức 2 đạt biên gộp từ 60 phần trăm và doanh thu chargeback giữ từ 11,2 triệu đồng mỗi team. Đây là giả định kế hoạch.</t>
  </si>
  <si>
    <t>Chỉ tăng tự động khi giữ biên gộp từ 60 phần trăm và không có vi phạm nghiêm trọng. Đây là mục tiêu cần kiểm chứng.</t>
  </si>
  <si>
    <t>Điều kiện dừng / đổi hướng</t>
  </si>
  <si>
    <t>Nếu tỷ lệ định tuyến đúng dưới 90 phần trăm hoặc có 1 vi phạm lọt tại ngày 90, tôi sẽ giữ Mức 0 và sửa policy.</t>
  </si>
  <si>
    <t>Nếu khiếu nại vượt 2 phần trăm hoặc chi phí vượt 1700 đồng tại ngày 180, tôi sẽ lùi về Mức 1.</t>
  </si>
  <si>
    <t>Nếu vi phạm nghiêm trọng bằng 1 hoặc biên gộp dưới 60 phần trăm tại tháng 12, tôi sẽ dừng tự động sâu và giữ Mức 2.</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</si>
  <si>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</si>
  <si>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</si>
  <si>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</si>
  <si>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</si>
  <si>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</si>
  <si>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</si>
  <si>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</si>
  <si>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Tỷ lệ log đầy đủ và tỷ lệ đề xuất đúng trên mẫu 100 request. Bằng chứng là log Gateway và bảng chi phí.</t>
  </si>
  <si>
    <t>Đi tiếp hoặc sửa hướng dẫn cấu hình do Lê Duy Bảo quyết trong phạm vi bài cá nhân.</t>
  </si>
  <si>
    <t>Lê Duy Bảo</t>
  </si>
  <si>
    <t>Ngày 60</t>
  </si>
  <si>
    <t>Cổng Mức 0 lên Mức 1 trên 300 request và chi phí thực tế mỗi request. Bằng chứng là kết quả eval và log chi phí.</t>
  </si>
  <si>
    <t>Lên Mức 1 hoặc giữ Mức 0 để sửa do Lê Duy Bảo quyết trong phạm vi bài cá nhân.</t>
  </si>
  <si>
    <t>Ngày 90</t>
  </si>
  <si>
    <t>Định tuyến đúng và fallback đúng lúc và vi phạm lọt và doanh thu chargeback bình quân. Bằng chứng là bộ mẫu 300 request và log 10 team.</t>
  </si>
  <si>
    <t>Mở rộng hoặc đổi hướng hoặc dừng do Lê Duy Bảo quyết trong phạm vi bài cá nhân. Quyết định cấp doanh nghiệp cần người có thẩm quyền thực tế khi triển khai.</t>
  </si>
  <si>
    <t>Có mô hình mới hoặc giá gọi AI giảm mạnh</t>
  </si>
  <si>
    <t>Chạy lại bộ mẫu 300 request và tính lại chi phí mỗi request theo đơn giá mới.</t>
  </si>
  <si>
    <t>Đổi model hoặc giữ nguyên do Lê Duy Bảo quyết trong phạm vi bài cá nhân.</t>
  </si>
  <si>
    <t>Nền tảng hoặc đối thủ ra tính năng tương tự</t>
  </si>
  <si>
    <t>Xem việc nào bị thay thế và so với năng lực quản trị của Gateway.</t>
  </si>
  <si>
    <t>Bỏ việc bị thay thế và dồn lực vào phần khác biệt do Lê Duy Bảo quyết.</t>
  </si>
  <si>
    <t>Quy định pháp lý thay đổi</t>
  </si>
  <si>
    <t>Xem mức rủi ro theo Luật Trí tuệ nhân tạo số 134 trên 2025 và yêu cầu thông báo khi tương tác với AI.</t>
  </si>
  <si>
    <t>Bổ sung kiểm soát và bằng chứng do Lê Duy Bảo quyết. Triển khai thực tế cần pháp chế và người có thẩm quyền.</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</si>
  <si>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</si>
  <si>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</si>
  <si>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</si>
  <si>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</si>
  <si>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</si>
  <si>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</si>
  <si>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Nên đầu tư định tuyến, ngân sách và fallback trong 0 đến 3 tháng ở Mức 1 với 30 phần trăm hậu kiểm. Chỉ lên Mức 2 khi đạt 95 phần trăm đúng trên 500 ca và biên gộp từ 60 phần trăm. Đây là mục tiêu đề xuất.</t>
  </si>
  <si>
    <t>3 việc chính</t>
  </si>
  <si>
    <t>Bây giờ hoàn thiện định tuyến, kiểm soát ngân sách và retry fallback có giới hạn. Tiếp theo mở rộng quan sát và chính sách. Sau này xem xét tự điều chỉnh policy khi đủ bằng chứng.</t>
  </si>
  <si>
    <t>Cần gì (người, tiền, dữ liệu)</t>
  </si>
  <si>
    <t>Lê Duy Bảo phụ trách toàn bộ. Cần log Gateway, bộ mẫu 500 request và hạ tầng ghi nhận chi phí theo team. Chi phí giả định 700 đồng mỗi request chưa duyệt. Thời gian dự kiến 12 tháng.</t>
  </si>
  <si>
    <t>Rủi ro lớn nhất &amp; cách xử lý</t>
  </si>
  <si>
    <t>Rủi ro lớn nhất là fallback tăng và token đầu ra tăng làm vượt chi phí. Cách xử lý là giới hạn retry, dừng khi vi phạm policy và rollback về Mức 1. Kịch bản xấu hết tiền ở tháng 9.</t>
  </si>
  <si>
    <t>Khi nào xem lại</t>
  </si>
  <si>
    <t>Xem lại vào ngày 30, 60 và 90 cùng khi giá model đổi, đối thủ ra tính năng tương tự hoặc quy định đổi. Lê Duy Bảo quyết trong phạm vi bài cá nhân.</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</si>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</sst>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38"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38" fontId="5" fillId="2" borderId="0" xfId="0" applyNumberFormat="1" applyFont="1" applyFill="1" applyProtection="1">
      <protection locked="0"/>
    </xf>
    <xf numFmtId="0" fontId="6" fillId="0" borderId="0" xfId="0" applyFont="1"/>
    <xf numFmtId="164"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7109375" defaultRowHeight="15" x14ac:dyDescent="0.25"/>
  <cols>
    <col min="1" max="1" width="120" customWidth="1"/>
  </cols>
  <sheetData>
    <row r="1" spans="1:1" ht="17.25" customHeight="1" x14ac:dyDescent="0.25">
      <c r="A1" s="1" t="s">
        <v>0</v>
      </c>
    </row>
    <row r="2" spans="1:1" ht="15" customHeight="1" x14ac:dyDescent="0.25">
      <c r="A2" s="2" t="s">
        <v>1</v>
      </c>
    </row>
    <row r="4" spans="1:1" ht="15" customHeight="1" x14ac:dyDescent="0.25">
      <c r="A4" t="s">
        <v>2</v>
      </c>
    </row>
    <row r="5" spans="1:1" ht="15" customHeight="1" x14ac:dyDescent="0.25">
      <c r="A5" t="s">
        <v>3</v>
      </c>
    </row>
    <row r="6" spans="1:1" ht="15" customHeight="1" x14ac:dyDescent="0.25">
      <c r="A6" t="s">
        <v>4</v>
      </c>
    </row>
    <row r="7" spans="1:1" ht="15" customHeight="1" x14ac:dyDescent="0.25">
      <c r="A7" t="s">
        <v>5</v>
      </c>
    </row>
    <row r="8" spans="1:1" ht="15" customHeight="1" x14ac:dyDescent="0.25">
      <c r="A8" t="s">
        <v>6</v>
      </c>
    </row>
    <row r="9" spans="1:1" ht="15" customHeight="1" x14ac:dyDescent="0.25">
      <c r="A9" t="s">
        <v>7</v>
      </c>
    </row>
    <row r="11" spans="1:1" ht="15" customHeight="1" x14ac:dyDescent="0.25">
      <c r="A11" t="s">
        <v>8</v>
      </c>
    </row>
    <row r="12" spans="1:1" ht="15" customHeight="1" x14ac:dyDescent="0.25">
      <c r="A12" s="3" t="s">
        <v>9</v>
      </c>
    </row>
    <row r="13" spans="1:1" ht="15" customHeight="1" x14ac:dyDescent="0.25">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1" t="s">
        <v>11</v>
      </c>
    </row>
    <row r="2" spans="1:5" ht="15" customHeight="1" x14ac:dyDescent="0.25">
      <c r="A2" s="2" t="s">
        <v>12</v>
      </c>
    </row>
    <row r="4" spans="1:5" ht="26.25" customHeight="1" x14ac:dyDescent="0.25">
      <c r="A4" s="5" t="s">
        <v>13</v>
      </c>
      <c r="B4" s="5" t="s">
        <v>14</v>
      </c>
      <c r="C4" s="5" t="s">
        <v>15</v>
      </c>
      <c r="D4" s="5" t="s">
        <v>16</v>
      </c>
      <c r="E4" s="5" t="s">
        <v>17</v>
      </c>
    </row>
    <row r="5" spans="1:5" ht="33.75" customHeight="1" x14ac:dyDescent="0.25">
      <c r="A5" s="6" t="s">
        <v>18</v>
      </c>
      <c r="B5" s="7" t="s">
        <v>19</v>
      </c>
      <c r="C5" s="6" t="s">
        <v>20</v>
      </c>
      <c r="D5" s="6" t="s">
        <v>21</v>
      </c>
      <c r="E5" s="7" t="s">
        <v>22</v>
      </c>
    </row>
    <row r="6" spans="1:5" ht="33.75" customHeight="1" x14ac:dyDescent="0.25">
      <c r="A6" s="6" t="s">
        <v>23</v>
      </c>
      <c r="B6" s="7" t="s">
        <v>19</v>
      </c>
      <c r="C6" s="6" t="s">
        <v>24</v>
      </c>
      <c r="D6" s="6" t="s">
        <v>25</v>
      </c>
      <c r="E6" s="7" t="s">
        <v>26</v>
      </c>
    </row>
    <row r="7" spans="1:5" ht="33.75" customHeight="1" x14ac:dyDescent="0.25">
      <c r="A7" s="6" t="s">
        <v>27</v>
      </c>
      <c r="B7" s="7" t="s">
        <v>19</v>
      </c>
      <c r="C7" s="6" t="s">
        <v>28</v>
      </c>
      <c r="D7" s="6" t="s">
        <v>29</v>
      </c>
      <c r="E7" s="7" t="s">
        <v>30</v>
      </c>
    </row>
    <row r="8" spans="1:5" ht="33.75" customHeight="1" x14ac:dyDescent="0.25">
      <c r="A8" s="6" t="s">
        <v>31</v>
      </c>
      <c r="B8" s="7" t="s">
        <v>19</v>
      </c>
      <c r="C8" s="6" t="s">
        <v>32</v>
      </c>
      <c r="D8" s="6" t="s">
        <v>33</v>
      </c>
      <c r="E8" s="7" t="s">
        <v>34</v>
      </c>
    </row>
    <row r="9" spans="1:5" ht="33.75" customHeight="1" x14ac:dyDescent="0.25">
      <c r="A9" s="6" t="s">
        <v>35</v>
      </c>
      <c r="B9" s="7" t="s">
        <v>19</v>
      </c>
      <c r="C9" s="6" t="s">
        <v>36</v>
      </c>
      <c r="D9" s="6" t="s">
        <v>37</v>
      </c>
      <c r="E9" s="7" t="s">
        <v>38</v>
      </c>
    </row>
    <row r="10" spans="1:5" ht="33.75" customHeight="1" x14ac:dyDescent="0.25">
      <c r="A10" s="6" t="s">
        <v>39</v>
      </c>
      <c r="B10" s="7" t="s">
        <v>19</v>
      </c>
      <c r="C10" s="6" t="s">
        <v>40</v>
      </c>
      <c r="D10" s="6" t="s">
        <v>41</v>
      </c>
      <c r="E10" s="7" t="s">
        <v>42</v>
      </c>
    </row>
    <row r="12" spans="1:5" ht="15" customHeight="1" x14ac:dyDescent="0.25">
      <c r="A12" s="8" t="s">
        <v>43</v>
      </c>
      <c r="B12" s="4">
        <f>COUNTIF(B5:B10,"Có")</f>
        <v>6</v>
      </c>
    </row>
    <row r="13" spans="1:5" ht="15" customHeight="1" x14ac:dyDescent="0.25">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7109375" defaultRowHeight="15" x14ac:dyDescent="0.25"/>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25">
      <c r="A1" s="1" t="s">
        <v>45</v>
      </c>
    </row>
    <row r="2" spans="1:17" ht="15" customHeight="1" x14ac:dyDescent="0.25">
      <c r="A2" s="2" t="s">
        <v>46</v>
      </c>
    </row>
    <row r="4" spans="1:17" ht="39" customHeight="1" x14ac:dyDescent="0.25">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34.5" customHeight="1" x14ac:dyDescent="0.25">
      <c r="A5" s="10">
        <v>1</v>
      </c>
      <c r="B5" s="7" t="s">
        <v>64</v>
      </c>
      <c r="C5" s="7" t="s">
        <v>65</v>
      </c>
      <c r="D5" s="7" t="s">
        <v>66</v>
      </c>
      <c r="E5" s="7" t="s">
        <v>67</v>
      </c>
      <c r="F5" s="7">
        <v>5</v>
      </c>
      <c r="G5" s="7">
        <v>5</v>
      </c>
      <c r="H5" s="7">
        <v>0.8</v>
      </c>
      <c r="I5" s="7">
        <v>2</v>
      </c>
      <c r="J5" s="7">
        <v>0.6</v>
      </c>
      <c r="K5" s="7">
        <v>0.5</v>
      </c>
      <c r="L5" s="7">
        <v>0.3</v>
      </c>
      <c r="M5" s="11">
        <f t="shared" ref="M5:M14" si="0">IF(COUNT(F5:L5)&lt;7,"",ROUND(F5*G5*H5/I5*(0.5+0.5*AVERAGE(J5:K5))*(1-0.5*L5),2))</f>
        <v>6.59</v>
      </c>
      <c r="N5" s="11">
        <f t="shared" ref="N5:N14" si="1">IF(M5="","",RANK(M5,$M$5:$M$14))</f>
        <v>1</v>
      </c>
      <c r="O5" s="12" t="str">
        <f>IF(B5="","",IF(OR(D5="",E5=""),"Thiếu",IF(SUMPRODUCT(--ISNUMBER(SEARCH({"0","1","2","3","4","5","6","7","8","9"},E5)))&gt;0,"Có","Thiếu")))</f>
        <v>Có</v>
      </c>
      <c r="P5" s="13" t="s">
        <v>68</v>
      </c>
      <c r="Q5" s="13" t="s">
        <v>69</v>
      </c>
    </row>
    <row r="6" spans="1:17" ht="23.25" customHeight="1" x14ac:dyDescent="0.25">
      <c r="A6" s="10">
        <v>2</v>
      </c>
      <c r="B6" s="7" t="s">
        <v>70</v>
      </c>
      <c r="C6" s="7" t="s">
        <v>71</v>
      </c>
      <c r="D6" s="7" t="s">
        <v>72</v>
      </c>
      <c r="E6" s="7" t="s">
        <v>73</v>
      </c>
      <c r="F6" s="7">
        <v>4</v>
      </c>
      <c r="G6" s="7">
        <v>5</v>
      </c>
      <c r="H6" s="7">
        <v>0.8</v>
      </c>
      <c r="I6" s="7">
        <v>3</v>
      </c>
      <c r="J6" s="7">
        <v>0.5</v>
      </c>
      <c r="K6" s="7">
        <v>0.5</v>
      </c>
      <c r="L6" s="7">
        <v>0.3</v>
      </c>
      <c r="M6" s="11">
        <f t="shared" si="0"/>
        <v>3.4</v>
      </c>
      <c r="N6" s="11">
        <f t="shared" si="1"/>
        <v>3</v>
      </c>
      <c r="O6" s="12" t="str">
        <f>IF(B6="","",IF(OR(D6="",E6=""),"Thiếu",IF(SUMPRODUCT(--ISNUMBER(SEARCH({"0","1","2","3","4","5","6","7","8","9"},E6)))&gt;0,"Có","Thiếu")))</f>
        <v>Có</v>
      </c>
      <c r="P6" s="13" t="s">
        <v>68</v>
      </c>
      <c r="Q6" s="13" t="s">
        <v>74</v>
      </c>
    </row>
    <row r="7" spans="1:17" ht="23.25" customHeight="1" x14ac:dyDescent="0.25">
      <c r="A7" s="10">
        <v>3</v>
      </c>
      <c r="B7" s="7" t="s">
        <v>75</v>
      </c>
      <c r="C7" s="7" t="s">
        <v>76</v>
      </c>
      <c r="D7" s="7" t="s">
        <v>77</v>
      </c>
      <c r="E7" s="7" t="s">
        <v>78</v>
      </c>
      <c r="F7" s="7">
        <v>5</v>
      </c>
      <c r="G7" s="7">
        <v>4</v>
      </c>
      <c r="H7" s="7">
        <v>0.8</v>
      </c>
      <c r="I7" s="7">
        <v>2</v>
      </c>
      <c r="J7" s="7">
        <v>0.4</v>
      </c>
      <c r="K7" s="7">
        <v>0.5</v>
      </c>
      <c r="L7" s="7">
        <v>0.4</v>
      </c>
      <c r="M7" s="11">
        <f t="shared" si="0"/>
        <v>4.6399999999999997</v>
      </c>
      <c r="N7" s="11">
        <f t="shared" si="1"/>
        <v>2</v>
      </c>
      <c r="O7" s="12" t="str">
        <f>IF(B7="","",IF(OR(D7="",E7=""),"Thiếu",IF(SUMPRODUCT(--ISNUMBER(SEARCH({"0","1","2","3","4","5","6","7","8","9"},E7)))&gt;0,"Có","Thiếu")))</f>
        <v>Có</v>
      </c>
      <c r="P7" s="13" t="s">
        <v>68</v>
      </c>
      <c r="Q7" s="13" t="s">
        <v>79</v>
      </c>
    </row>
    <row r="8" spans="1:17" ht="23.25" customHeight="1" x14ac:dyDescent="0.25">
      <c r="A8" s="10">
        <v>4</v>
      </c>
      <c r="B8" s="7" t="s">
        <v>80</v>
      </c>
      <c r="C8" s="7" t="s">
        <v>81</v>
      </c>
      <c r="D8" s="7" t="s">
        <v>82</v>
      </c>
      <c r="E8" s="7" t="s">
        <v>83</v>
      </c>
      <c r="F8" s="7">
        <v>4</v>
      </c>
      <c r="G8" s="7">
        <v>4</v>
      </c>
      <c r="H8" s="7">
        <v>0.8</v>
      </c>
      <c r="I8" s="7">
        <v>2</v>
      </c>
      <c r="J8" s="7">
        <v>0.4</v>
      </c>
      <c r="K8" s="7">
        <v>0.4</v>
      </c>
      <c r="L8" s="7">
        <v>0.5</v>
      </c>
      <c r="M8" s="11">
        <f t="shared" si="0"/>
        <v>3.36</v>
      </c>
      <c r="N8" s="11">
        <f t="shared" si="1"/>
        <v>4</v>
      </c>
      <c r="O8" s="12" t="str">
        <f>IF(B8="","",IF(OR(D8="",E8=""),"Thiếu",IF(SUMPRODUCT(--ISNUMBER(SEARCH({"0","1","2","3","4","5","6","7","8","9"},E8)))&gt;0,"Có","Thiếu")))</f>
        <v>Có</v>
      </c>
      <c r="P8" s="13" t="s">
        <v>84</v>
      </c>
      <c r="Q8" s="13" t="s">
        <v>85</v>
      </c>
    </row>
    <row r="9" spans="1:17" ht="23.25" customHeight="1" x14ac:dyDescent="0.25">
      <c r="A9" s="10">
        <v>5</v>
      </c>
      <c r="B9" s="7" t="s">
        <v>86</v>
      </c>
      <c r="C9" s="7" t="s">
        <v>87</v>
      </c>
      <c r="D9" s="7" t="s">
        <v>88</v>
      </c>
      <c r="E9" s="7" t="s">
        <v>89</v>
      </c>
      <c r="F9" s="7">
        <v>3</v>
      </c>
      <c r="G9" s="7">
        <v>5</v>
      </c>
      <c r="H9" s="7">
        <v>0.5</v>
      </c>
      <c r="I9" s="7">
        <v>3</v>
      </c>
      <c r="J9" s="7">
        <v>0.3</v>
      </c>
      <c r="K9" s="7">
        <v>0.4</v>
      </c>
      <c r="L9" s="7">
        <v>0.3</v>
      </c>
      <c r="M9" s="11">
        <f t="shared" si="0"/>
        <v>1.43</v>
      </c>
      <c r="N9" s="11">
        <f t="shared" si="1"/>
        <v>5</v>
      </c>
      <c r="O9" s="12" t="str">
        <f>IF(B9="","",IF(OR(D9="",E9=""),"Thiếu",IF(SUMPRODUCT(--ISNUMBER(SEARCH({"0","1","2","3","4","5","6","7","8","9"},E9)))&gt;0,"Có","Thiếu")))</f>
        <v>Có</v>
      </c>
      <c r="P9" s="13" t="s">
        <v>68</v>
      </c>
      <c r="Q9" s="13" t="s">
        <v>90</v>
      </c>
    </row>
    <row r="10" spans="1:17" ht="23.25" customHeight="1" x14ac:dyDescent="0.25">
      <c r="A10" s="10">
        <v>6</v>
      </c>
      <c r="B10" s="7" t="s">
        <v>91</v>
      </c>
      <c r="C10" s="7" t="s">
        <v>92</v>
      </c>
      <c r="D10" s="7" t="s">
        <v>93</v>
      </c>
      <c r="E10" s="7" t="s">
        <v>94</v>
      </c>
      <c r="F10" s="7">
        <v>3</v>
      </c>
      <c r="G10" s="7">
        <v>4</v>
      </c>
      <c r="H10" s="7">
        <v>0.5</v>
      </c>
      <c r="I10" s="7">
        <v>3</v>
      </c>
      <c r="J10" s="7">
        <v>0.3</v>
      </c>
      <c r="K10" s="7">
        <v>0.3</v>
      </c>
      <c r="L10" s="7">
        <v>0.4</v>
      </c>
      <c r="M10" s="11">
        <f t="shared" si="0"/>
        <v>1.04</v>
      </c>
      <c r="N10" s="11">
        <f t="shared" si="1"/>
        <v>6</v>
      </c>
      <c r="O10" s="12" t="str">
        <f>IF(B10="","",IF(OR(D10="",E10=""),"Thiếu",IF(SUMPRODUCT(--ISNUMBER(SEARCH({"0","1","2","3","4","5","6","7","8","9"},E10)))&gt;0,"Có","Thiếu")))</f>
        <v>Có</v>
      </c>
      <c r="P10" s="13" t="s">
        <v>68</v>
      </c>
      <c r="Q10" s="13" t="s">
        <v>95</v>
      </c>
    </row>
    <row r="11" spans="1:17" ht="15" customHeight="1" x14ac:dyDescent="0.25">
      <c r="A11" s="10">
        <v>7</v>
      </c>
      <c r="B11" s="7"/>
      <c r="C11" s="7"/>
      <c r="D11" s="7"/>
      <c r="E11" s="7"/>
      <c r="F11" s="7"/>
      <c r="G11" s="7"/>
      <c r="H11" s="7"/>
      <c r="I11" s="7"/>
      <c r="J11" s="7"/>
      <c r="K11" s="7"/>
      <c r="L11" s="7"/>
      <c r="M11" s="11" t="str">
        <f t="shared" si="0"/>
        <v/>
      </c>
      <c r="N11" s="11" t="str">
        <f t="shared" si="1"/>
        <v/>
      </c>
      <c r="O11" s="12" t="str">
        <f>IF(B11="","",IF(OR(D11="",E11=""),"Thiếu",IF(SUMPRODUCT(--ISNUMBER(SEARCH({"0","1","2","3","4","5","6","7","8","9"},E11)))&gt;0,"Có","Thiếu")))</f>
        <v/>
      </c>
      <c r="P11" s="13"/>
      <c r="Q11" s="13"/>
    </row>
    <row r="12" spans="1:17" ht="15" customHeight="1" x14ac:dyDescent="0.25">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25">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25">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7109375" defaultRowHeight="15" x14ac:dyDescent="0.25"/>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25">
      <c r="A1" s="1" t="s">
        <v>96</v>
      </c>
    </row>
    <row r="2" spans="1:13" ht="15" customHeight="1" x14ac:dyDescent="0.25">
      <c r="A2" s="2" t="s">
        <v>97</v>
      </c>
    </row>
    <row r="4" spans="1:13" ht="26.25" customHeight="1" x14ac:dyDescent="0.25">
      <c r="A4" s="9" t="s">
        <v>98</v>
      </c>
      <c r="B4" s="9" t="s">
        <v>99</v>
      </c>
      <c r="C4" s="9" t="s">
        <v>100</v>
      </c>
      <c r="D4" s="9" t="s">
        <v>101</v>
      </c>
      <c r="E4" s="9" t="s">
        <v>102</v>
      </c>
      <c r="F4" s="9" t="s">
        <v>103</v>
      </c>
      <c r="G4" s="9" t="s">
        <v>104</v>
      </c>
      <c r="H4" s="9" t="s">
        <v>105</v>
      </c>
      <c r="I4" s="9" t="s">
        <v>106</v>
      </c>
      <c r="J4" s="9" t="s">
        <v>107</v>
      </c>
      <c r="K4" s="9" t="s">
        <v>108</v>
      </c>
      <c r="L4" s="9" t="s">
        <v>109</v>
      </c>
      <c r="M4" s="9" t="s">
        <v>110</v>
      </c>
    </row>
    <row r="5" spans="1:13" ht="48" customHeight="1" x14ac:dyDescent="0.25">
      <c r="A5" s="10">
        <v>0</v>
      </c>
      <c r="B5" s="7" t="s">
        <v>111</v>
      </c>
      <c r="C5" s="7" t="s">
        <v>112</v>
      </c>
      <c r="D5" s="7" t="s">
        <v>113</v>
      </c>
      <c r="E5" s="7" t="s">
        <v>114</v>
      </c>
      <c r="F5" s="7" t="s">
        <v>115</v>
      </c>
      <c r="G5" s="7" t="s">
        <v>116</v>
      </c>
      <c r="H5" s="14">
        <v>1</v>
      </c>
      <c r="I5" s="13" t="s">
        <v>117</v>
      </c>
      <c r="J5" s="15">
        <f>IF(H5="","",$B$12+$B$13+IF(I5="Người của mình",H5*$B$14*$B$15/60,0))</f>
        <v>4033.3333333333335</v>
      </c>
      <c r="K5" s="16">
        <f>IF(J5="","",IFERROR(($B$16-$B$17*J5)/$B$16,""))</f>
        <v>-0.44047619047619058</v>
      </c>
      <c r="L5" s="17" t="str">
        <f>IF(K5="","",IF(K5&gt;=0.6,"Đạt","Dưới ngưỡng"))</f>
        <v>Dưới ngưỡng</v>
      </c>
    </row>
    <row r="6" spans="1:13" ht="48" customHeight="1" x14ac:dyDescent="0.25">
      <c r="A6" s="10">
        <v>1</v>
      </c>
      <c r="B6" s="7" t="s">
        <v>118</v>
      </c>
      <c r="C6" s="7" t="s">
        <v>119</v>
      </c>
      <c r="D6" s="7" t="s">
        <v>120</v>
      </c>
      <c r="E6" s="7" t="s">
        <v>121</v>
      </c>
      <c r="F6" s="7" t="s">
        <v>122</v>
      </c>
      <c r="G6" s="7" t="s">
        <v>123</v>
      </c>
      <c r="H6" s="14">
        <v>0.3</v>
      </c>
      <c r="I6" s="13" t="s">
        <v>117</v>
      </c>
      <c r="J6" s="15">
        <f>IF(H6="","",$B$12+$B$13+IF(I6="Người của mình",H6*$B$14*$B$15/60,0))</f>
        <v>1700</v>
      </c>
      <c r="K6" s="16">
        <f>IF(J6="","",IFERROR(($B$16-$B$17*J6)/$B$16,""))</f>
        <v>0.39285714285714285</v>
      </c>
      <c r="L6" s="17" t="str">
        <f>IF(K6="","",IF(K6&gt;=0.6,"Đạt","Dưới ngưỡng"))</f>
        <v>Dưới ngưỡng</v>
      </c>
      <c r="M6" s="17" t="str">
        <f>IF(E6="","",IF(SUMPRODUCT(--ISNUMBER(SEARCH({"0","1","2","3","4","5","6","7","8","9"},E6)))&gt;0,"Có","Thiếu"))</f>
        <v>Có</v>
      </c>
    </row>
    <row r="7" spans="1:13" ht="48" customHeight="1" x14ac:dyDescent="0.25">
      <c r="A7" s="10">
        <v>2</v>
      </c>
      <c r="B7" s="7" t="s">
        <v>124</v>
      </c>
      <c r="C7" s="7" t="s">
        <v>125</v>
      </c>
      <c r="D7" s="7" t="s">
        <v>126</v>
      </c>
      <c r="E7" s="7" t="s">
        <v>127</v>
      </c>
      <c r="F7" s="7" t="s">
        <v>128</v>
      </c>
      <c r="G7" s="7" t="s">
        <v>129</v>
      </c>
      <c r="H7" s="14">
        <v>0.1</v>
      </c>
      <c r="I7" s="13" t="s">
        <v>117</v>
      </c>
      <c r="J7" s="15">
        <f>IF(H7="","",$B$12+$B$13+IF(I7="Người của mình",H7*$B$14*$B$15/60,0))</f>
        <v>1033.3333333333333</v>
      </c>
      <c r="K7" s="16">
        <f>IF(J7="","",IFERROR(($B$16-$B$17*J7)/$B$16,""))</f>
        <v>0.63095238095238104</v>
      </c>
      <c r="L7" s="17" t="str">
        <f>IF(K7="","",IF(K7&gt;=0.6,"Đạt","Dưới ngưỡng"))</f>
        <v>Đạt</v>
      </c>
      <c r="M7" s="17" t="str">
        <f>IF(E7="","",IF(SUMPRODUCT(--ISNUMBER(SEARCH({"0","1","2","3","4","5","6","7","8","9"},E7)))&gt;0,"Có","Thiếu"))</f>
        <v>Có</v>
      </c>
    </row>
    <row r="8" spans="1:13" ht="48" customHeight="1" x14ac:dyDescent="0.25">
      <c r="A8" s="10">
        <v>3</v>
      </c>
      <c r="B8" s="7" t="s">
        <v>130</v>
      </c>
      <c r="C8" s="7" t="s">
        <v>131</v>
      </c>
      <c r="D8" s="7" t="s">
        <v>132</v>
      </c>
      <c r="E8" s="7" t="s">
        <v>133</v>
      </c>
      <c r="F8" s="7" t="s">
        <v>134</v>
      </c>
      <c r="G8" s="7" t="s">
        <v>135</v>
      </c>
      <c r="H8" s="14">
        <v>0.05</v>
      </c>
      <c r="I8" s="13" t="s">
        <v>117</v>
      </c>
      <c r="J8" s="15">
        <f>IF(H8="","",$B$12+$B$13+IF(I8="Người của mình",H8*$B$14*$B$15/60,0))</f>
        <v>866.66666666666663</v>
      </c>
      <c r="K8" s="16">
        <f>IF(J8="","",IFERROR(($B$16-$B$17*J8)/$B$16,""))</f>
        <v>0.69047619047619058</v>
      </c>
      <c r="L8" s="17" t="str">
        <f>IF(K8="","",IF(K8&gt;=0.6,"Đạt","Dưới ngưỡng"))</f>
        <v>Đạt</v>
      </c>
      <c r="M8" s="17" t="str">
        <f>IF(E8="","",IF(SUMPRODUCT(--ISNUMBER(SEARCH({"0","1","2","3","4","5","6","7","8","9"},E8)))&gt;0,"Có","Thiếu"))</f>
        <v>Có</v>
      </c>
    </row>
    <row r="11" spans="1:13" ht="15" customHeight="1" x14ac:dyDescent="0.25">
      <c r="A11" s="8" t="s">
        <v>136</v>
      </c>
    </row>
    <row r="12" spans="1:13" ht="15" customHeight="1" x14ac:dyDescent="0.25">
      <c r="A12" s="18" t="s">
        <v>137</v>
      </c>
      <c r="B12" s="19">
        <v>520</v>
      </c>
      <c r="C12" s="20" t="s">
        <v>138</v>
      </c>
    </row>
    <row r="13" spans="1:13" ht="15" customHeight="1" x14ac:dyDescent="0.25">
      <c r="A13" s="18" t="s">
        <v>139</v>
      </c>
      <c r="B13" s="19">
        <v>180</v>
      </c>
      <c r="C13" s="20" t="s">
        <v>140</v>
      </c>
    </row>
    <row r="14" spans="1:13" ht="15" customHeight="1" x14ac:dyDescent="0.25">
      <c r="A14" s="18" t="s">
        <v>141</v>
      </c>
      <c r="B14" s="21">
        <v>2</v>
      </c>
      <c r="C14" s="20" t="s">
        <v>142</v>
      </c>
    </row>
    <row r="15" spans="1:13" ht="15" customHeight="1" x14ac:dyDescent="0.25">
      <c r="A15" s="18" t="s">
        <v>143</v>
      </c>
      <c r="B15" s="19">
        <v>100000</v>
      </c>
      <c r="C15" s="20" t="s">
        <v>144</v>
      </c>
    </row>
    <row r="16" spans="1:13" ht="15" customHeight="1" x14ac:dyDescent="0.25">
      <c r="A16" s="18" t="s">
        <v>145</v>
      </c>
      <c r="B16" s="19">
        <v>14000000</v>
      </c>
      <c r="C16" s="20" t="s">
        <v>146</v>
      </c>
    </row>
    <row r="17" spans="1:3" ht="15" customHeight="1" x14ac:dyDescent="0.25">
      <c r="A17" s="18" t="s">
        <v>147</v>
      </c>
      <c r="B17" s="19">
        <v>5000</v>
      </c>
      <c r="C17" s="20" t="s">
        <v>148</v>
      </c>
    </row>
    <row r="18" spans="1:3" ht="15" customHeight="1" x14ac:dyDescent="0.25">
      <c r="A18" s="18" t="s">
        <v>149</v>
      </c>
      <c r="B18" s="13" t="s">
        <v>150</v>
      </c>
      <c r="C18" s="20" t="s">
        <v>151</v>
      </c>
    </row>
    <row r="19" spans="1:3" ht="15" customHeight="1" x14ac:dyDescent="0.25">
      <c r="A19" s="18" t="s">
        <v>152</v>
      </c>
      <c r="B19" s="13" t="s">
        <v>153</v>
      </c>
      <c r="C19" s="20" t="s">
        <v>154</v>
      </c>
    </row>
    <row r="20" spans="1:3" ht="15" customHeight="1" x14ac:dyDescent="0.25">
      <c r="A20" s="18" t="s">
        <v>155</v>
      </c>
      <c r="B20" s="22">
        <v>9</v>
      </c>
      <c r="C20" s="20" t="s">
        <v>156</v>
      </c>
    </row>
    <row r="22" spans="1:3" ht="15" customHeight="1" x14ac:dyDescent="0.25">
      <c r="A22" s="20" t="s">
        <v>157</v>
      </c>
    </row>
    <row r="23" spans="1:3" ht="15" customHeight="1" x14ac:dyDescent="0.25">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7109375" defaultRowHeight="15" x14ac:dyDescent="0.25"/>
  <cols>
    <col min="1" max="1" width="30" customWidth="1"/>
    <col min="2" max="4" width="42" customWidth="1"/>
  </cols>
  <sheetData>
    <row r="1" spans="1:4" ht="17.25" customHeight="1" x14ac:dyDescent="0.25">
      <c r="A1" s="1" t="s">
        <v>158</v>
      </c>
    </row>
    <row r="2" spans="1:4" ht="15" customHeight="1" x14ac:dyDescent="0.25">
      <c r="A2" s="2" t="s">
        <v>159</v>
      </c>
    </row>
    <row r="4" spans="1:4" ht="15" customHeight="1" x14ac:dyDescent="0.25">
      <c r="A4" s="9" t="s">
        <v>160</v>
      </c>
      <c r="B4" s="9" t="s">
        <v>161</v>
      </c>
      <c r="C4" s="9" t="s">
        <v>162</v>
      </c>
      <c r="D4" s="9" t="s">
        <v>163</v>
      </c>
    </row>
    <row r="5" spans="1:4" ht="48" customHeight="1" x14ac:dyDescent="0.25">
      <c r="A5" s="23" t="s">
        <v>164</v>
      </c>
      <c r="B5" s="7" t="s">
        <v>165</v>
      </c>
      <c r="C5" s="7" t="s">
        <v>166</v>
      </c>
      <c r="D5" s="7" t="s">
        <v>167</v>
      </c>
    </row>
    <row r="6" spans="1:4" ht="48" customHeight="1" x14ac:dyDescent="0.25">
      <c r="A6" s="23" t="s">
        <v>168</v>
      </c>
      <c r="B6" s="7" t="s">
        <v>169</v>
      </c>
      <c r="C6" s="7" t="s">
        <v>170</v>
      </c>
      <c r="D6" s="7" t="s">
        <v>171</v>
      </c>
    </row>
    <row r="7" spans="1:4" ht="48" customHeight="1" x14ac:dyDescent="0.25">
      <c r="A7" s="23" t="s">
        <v>51</v>
      </c>
      <c r="B7" s="7" t="s">
        <v>172</v>
      </c>
      <c r="C7" s="7" t="s">
        <v>173</v>
      </c>
      <c r="D7" s="7" t="s">
        <v>174</v>
      </c>
    </row>
    <row r="8" spans="1:4" ht="48" customHeight="1" x14ac:dyDescent="0.25">
      <c r="A8" s="23" t="s">
        <v>175</v>
      </c>
      <c r="B8" s="7" t="s">
        <v>176</v>
      </c>
      <c r="C8" s="7" t="s">
        <v>177</v>
      </c>
      <c r="D8" s="7" t="s">
        <v>178</v>
      </c>
    </row>
    <row r="9" spans="1:4" ht="48" customHeight="1" x14ac:dyDescent="0.25">
      <c r="A9" s="23" t="s">
        <v>179</v>
      </c>
      <c r="B9" s="7" t="s">
        <v>180</v>
      </c>
      <c r="C9" s="7" t="s">
        <v>181</v>
      </c>
      <c r="D9" s="7" t="s">
        <v>182</v>
      </c>
    </row>
    <row r="10" spans="1:4" ht="48" customHeight="1" x14ac:dyDescent="0.25">
      <c r="A10" s="23" t="s">
        <v>183</v>
      </c>
      <c r="B10" s="7" t="s">
        <v>184</v>
      </c>
      <c r="C10" s="7" t="s">
        <v>185</v>
      </c>
      <c r="D10" s="7" t="s">
        <v>186</v>
      </c>
    </row>
    <row r="11" spans="1:4" ht="48" customHeight="1" x14ac:dyDescent="0.25">
      <c r="A11" s="23" t="s">
        <v>187</v>
      </c>
      <c r="B11" s="7" t="s">
        <v>188</v>
      </c>
      <c r="C11" s="7" t="s">
        <v>189</v>
      </c>
      <c r="D11" s="7" t="s">
        <v>190</v>
      </c>
    </row>
    <row r="12" spans="1:4" ht="48" customHeight="1" x14ac:dyDescent="0.25">
      <c r="A12" s="23" t="s">
        <v>191</v>
      </c>
      <c r="B12" s="7" t="s">
        <v>192</v>
      </c>
      <c r="C12" s="7" t="s">
        <v>193</v>
      </c>
      <c r="D12" s="7" t="s">
        <v>194</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7109375" defaultRowHeight="15" x14ac:dyDescent="0.25"/>
  <cols>
    <col min="1" max="1" width="34" customWidth="1"/>
    <col min="2" max="3" width="40" customWidth="1"/>
    <col min="4" max="4" width="28" customWidth="1"/>
  </cols>
  <sheetData>
    <row r="1" spans="1:4" ht="17.25" customHeight="1" x14ac:dyDescent="0.25">
      <c r="A1" s="1" t="s">
        <v>195</v>
      </c>
    </row>
    <row r="2" spans="1:4" ht="15" customHeight="1" x14ac:dyDescent="0.25">
      <c r="A2" s="2" t="s">
        <v>196</v>
      </c>
    </row>
    <row r="4" spans="1:4" ht="15" customHeight="1" x14ac:dyDescent="0.25">
      <c r="A4" s="9" t="s">
        <v>197</v>
      </c>
      <c r="B4" s="9" t="s">
        <v>198</v>
      </c>
      <c r="C4" s="9" t="s">
        <v>199</v>
      </c>
      <c r="D4" s="9" t="s">
        <v>200</v>
      </c>
    </row>
    <row r="5" spans="1:4" ht="15" customHeight="1" x14ac:dyDescent="0.25">
      <c r="A5" s="7" t="s">
        <v>201</v>
      </c>
      <c r="B5" s="7" t="s">
        <v>202</v>
      </c>
      <c r="C5" s="7" t="s">
        <v>203</v>
      </c>
      <c r="D5" s="7" t="s">
        <v>204</v>
      </c>
    </row>
    <row r="6" spans="1:4" ht="15" customHeight="1" x14ac:dyDescent="0.25">
      <c r="A6" s="7" t="s">
        <v>205</v>
      </c>
      <c r="B6" s="7" t="s">
        <v>206</v>
      </c>
      <c r="C6" s="7" t="s">
        <v>207</v>
      </c>
      <c r="D6" s="7" t="s">
        <v>204</v>
      </c>
    </row>
    <row r="7" spans="1:4" ht="15" customHeight="1" x14ac:dyDescent="0.25">
      <c r="A7" s="7" t="s">
        <v>208</v>
      </c>
      <c r="B7" s="7" t="s">
        <v>209</v>
      </c>
      <c r="C7" s="7" t="s">
        <v>210</v>
      </c>
      <c r="D7" s="7" t="s">
        <v>204</v>
      </c>
    </row>
    <row r="8" spans="1:4" ht="15" customHeight="1" x14ac:dyDescent="0.25">
      <c r="A8" s="7" t="s">
        <v>211</v>
      </c>
      <c r="B8" s="7" t="s">
        <v>212</v>
      </c>
      <c r="C8" s="7" t="s">
        <v>213</v>
      </c>
      <c r="D8" s="7" t="s">
        <v>204</v>
      </c>
    </row>
    <row r="9" spans="1:4" ht="15" customHeight="1" x14ac:dyDescent="0.25">
      <c r="A9" s="7" t="s">
        <v>214</v>
      </c>
      <c r="B9" s="7" t="s">
        <v>215</v>
      </c>
      <c r="C9" s="7" t="s">
        <v>216</v>
      </c>
      <c r="D9" s="7" t="s">
        <v>204</v>
      </c>
    </row>
    <row r="10" spans="1:4" ht="15" customHeight="1" x14ac:dyDescent="0.25">
      <c r="A10" s="7" t="s">
        <v>217</v>
      </c>
      <c r="B10" s="7" t="s">
        <v>218</v>
      </c>
      <c r="C10" s="7" t="s">
        <v>219</v>
      </c>
      <c r="D10" s="7" t="s">
        <v>204</v>
      </c>
    </row>
    <row r="12" spans="1:4" ht="15" customHeight="1" x14ac:dyDescent="0.25">
      <c r="A12" s="20" t="s">
        <v>220</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7109375" defaultRowHeight="15" x14ac:dyDescent="0.25"/>
  <cols>
    <col min="1" max="1" width="32" customWidth="1"/>
    <col min="2" max="2" width="90" customWidth="1"/>
    <col min="3" max="3" width="8" customWidth="1"/>
    <col min="4" max="4" width="12" customWidth="1"/>
  </cols>
  <sheetData>
    <row r="1" spans="1:4" ht="17.25" customHeight="1" x14ac:dyDescent="0.25">
      <c r="A1" s="1" t="s">
        <v>221</v>
      </c>
    </row>
    <row r="2" spans="1:4" ht="15" customHeight="1" x14ac:dyDescent="0.25">
      <c r="A2" s="2" t="s">
        <v>222</v>
      </c>
    </row>
    <row r="3" spans="1:4" ht="15" customHeight="1" x14ac:dyDescent="0.25">
      <c r="C3" s="24" t="s">
        <v>223</v>
      </c>
      <c r="D3" s="24" t="s">
        <v>224</v>
      </c>
    </row>
    <row r="4" spans="1:4" ht="33.75" customHeight="1" x14ac:dyDescent="0.25">
      <c r="A4" s="24" t="s">
        <v>225</v>
      </c>
      <c r="B4" s="7" t="s">
        <v>226</v>
      </c>
      <c r="C4" s="25">
        <f>IF(TRIM(B4)="",0,LEN(TRIM(B4))-LEN(SUBSTITUTE(TRIM(B4)," ",""))+1)</f>
        <v>49</v>
      </c>
      <c r="D4" s="17" t="str">
        <f>IF(C4=0,"Trống",IF(C4&gt;60,"Quá 60 chữ","Đạt"))</f>
        <v>Đạt</v>
      </c>
    </row>
    <row r="5" spans="1:4" ht="33.75" customHeight="1" x14ac:dyDescent="0.25">
      <c r="A5" s="24" t="s">
        <v>227</v>
      </c>
      <c r="B5" s="7" t="s">
        <v>228</v>
      </c>
      <c r="C5" s="25">
        <f>IF(TRIM(B5)="",0,LEN(TRIM(B5))-LEN(SUBSTITUTE(TRIM(B5)," ",""))+1)</f>
        <v>37</v>
      </c>
      <c r="D5" s="17" t="str">
        <f>IF(C5=0,"Trống",IF(C5&gt;60,"Quá 60 chữ","Đạt"))</f>
        <v>Đạt</v>
      </c>
    </row>
    <row r="6" spans="1:4" ht="33.75" customHeight="1" x14ac:dyDescent="0.25">
      <c r="A6" s="24" t="s">
        <v>229</v>
      </c>
      <c r="B6" s="7" t="s">
        <v>230</v>
      </c>
      <c r="C6" s="25">
        <f>IF(TRIM(B6)="",0,LEN(TRIM(B6))-LEN(SUBSTITUTE(TRIM(B6)," ",""))+1)</f>
        <v>39</v>
      </c>
      <c r="D6" s="17" t="str">
        <f>IF(C6=0,"Trống",IF(C6&gt;60,"Quá 60 chữ","Đạt"))</f>
        <v>Đạt</v>
      </c>
    </row>
    <row r="7" spans="1:4" ht="33.75" customHeight="1" x14ac:dyDescent="0.25">
      <c r="A7" s="24" t="s">
        <v>231</v>
      </c>
      <c r="B7" s="7" t="s">
        <v>232</v>
      </c>
      <c r="C7" s="25">
        <f>IF(TRIM(B7)="",0,LEN(TRIM(B7))-LEN(SUBSTITUTE(TRIM(B7)," ",""))+1)</f>
        <v>41</v>
      </c>
      <c r="D7" s="17" t="str">
        <f>IF(C7=0,"Trống",IF(C7&gt;60,"Quá 60 chữ","Đạt"))</f>
        <v>Đạt</v>
      </c>
    </row>
    <row r="8" spans="1:4" ht="33.75" customHeight="1" x14ac:dyDescent="0.25">
      <c r="A8" s="24" t="s">
        <v>233</v>
      </c>
      <c r="B8" s="7" t="s">
        <v>234</v>
      </c>
      <c r="C8" s="25">
        <f>IF(TRIM(B8)="",0,LEN(TRIM(B8))-LEN(SUBSTITUTE(TRIM(B8)," ",""))+1)</f>
        <v>34</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7109375" defaultRowHeight="15" x14ac:dyDescent="0.25"/>
  <cols>
    <col min="1" max="1" width="66" customWidth="1"/>
    <col min="2" max="3" width="14" customWidth="1"/>
  </cols>
  <sheetData>
    <row r="1" spans="1:3" ht="17.25" customHeight="1" x14ac:dyDescent="0.25">
      <c r="A1" s="1" t="s">
        <v>235</v>
      </c>
    </row>
    <row r="2" spans="1:3" ht="15" customHeight="1" x14ac:dyDescent="0.25">
      <c r="A2" s="2" t="s">
        <v>236</v>
      </c>
    </row>
    <row r="4" spans="1:3" ht="15" customHeight="1" x14ac:dyDescent="0.25">
      <c r="A4" s="9" t="s">
        <v>237</v>
      </c>
      <c r="B4" s="9" t="s">
        <v>238</v>
      </c>
      <c r="C4" s="9" t="s">
        <v>224</v>
      </c>
    </row>
    <row r="5" spans="1:3" ht="15" customHeight="1" x14ac:dyDescent="0.25">
      <c r="A5" s="10" t="s">
        <v>239</v>
      </c>
      <c r="B5" s="11">
        <f>COUNT('1_Danh sách việc'!M5:M14)</f>
        <v>6</v>
      </c>
      <c r="C5" s="11" t="str">
        <f>IF(B5&gt;=5,"Đạt","Xem lại")</f>
        <v>Đạt</v>
      </c>
    </row>
    <row r="6" spans="1:3" ht="15" customHeight="1" x14ac:dyDescent="0.25">
      <c r="A6" s="10" t="s">
        <v>240</v>
      </c>
      <c r="B6" s="11">
        <f>COUNTIFS('1_Danh sách việc'!O5:O14,"Thiếu",'1_Danh sách việc'!P5:P14,"&lt;&gt;Không làm")</f>
        <v>0</v>
      </c>
      <c r="C6" s="11" t="str">
        <f>IF(B5=0,"",IF(B6=0,"Đạt","Xem lại"))</f>
        <v>Đạt</v>
      </c>
    </row>
    <row r="7" spans="1:3" ht="15" customHeight="1" x14ac:dyDescent="0.25">
      <c r="A7" s="10" t="s">
        <v>241</v>
      </c>
      <c r="B7" s="11">
        <f>COUNTIF('2_Mức tự động'!M6:M8,"Có")</f>
        <v>3</v>
      </c>
      <c r="C7" s="11" t="str">
        <f>IF(B7&gt;=2,"Đạt","Xem lại")</f>
        <v>Đạt</v>
      </c>
    </row>
    <row r="8" spans="1:3" ht="15" customHeight="1" x14ac:dyDescent="0.25">
      <c r="A8" s="10" t="s">
        <v>242</v>
      </c>
      <c r="B8" s="11">
        <f>COUNTA('3_Bảng lộ trình'!B5:B12)</f>
        <v>8</v>
      </c>
      <c r="C8" s="11" t="str">
        <f>IF(B8=8,"Đạt","Xem lại")</f>
        <v>Đạt</v>
      </c>
    </row>
    <row r="9" spans="1:3" ht="15" customHeight="1" x14ac:dyDescent="0.25">
      <c r="A9" s="10" t="s">
        <v>243</v>
      </c>
      <c r="B9" s="11" t="str">
        <f>IF(AND(LEN('3_Bảng lộ trình'!B12)&gt;10,SUMPRODUCT(--ISNUMBER(SEARCH({"0","1","2","3","4","5","6","7","8","9"},'3_Bảng lộ trình'!B12)))&gt;0),"Có","Chưa")</f>
        <v>Có</v>
      </c>
      <c r="C9" s="11" t="str">
        <f>IF(B9="Có","Đạt","Xem lại")</f>
        <v>Đạt</v>
      </c>
    </row>
    <row r="10" spans="1:3" ht="15" customHeight="1" x14ac:dyDescent="0.25">
      <c r="A10" s="10" t="s">
        <v>244</v>
      </c>
      <c r="B10" s="11" t="str">
        <f>IF(AND(LEN('3_Bảng lộ trình'!B11)&gt;10,SUMPRODUCT(--ISNUMBER(SEARCH({"0","1","2","3","4","5","6","7","8","9"},'3_Bảng lộ trình'!B11)))&gt;0),"Có","Chưa")</f>
        <v>Có</v>
      </c>
      <c r="C10" s="11" t="str">
        <f>IF(B10="Có","Đạt","Xem lại")</f>
        <v>Đạt</v>
      </c>
    </row>
    <row r="11" spans="1:3" ht="15" customHeight="1" x14ac:dyDescent="0.25">
      <c r="A11" s="10" t="s">
        <v>245</v>
      </c>
      <c r="B11" s="11">
        <f>COUNTIF('5_Slide lãnh đạo'!D4:D8,"Đạt")</f>
        <v>5</v>
      </c>
      <c r="C11" s="11" t="str">
        <f>IF(B11=5,"Đạt","Xem lại")</f>
        <v>Đạt</v>
      </c>
    </row>
    <row r="12" spans="1:3" ht="15" customHeight="1" x14ac:dyDescent="0.25">
      <c r="A12" s="10" t="s">
        <v>246</v>
      </c>
      <c r="B12" s="11">
        <f>COUNTIF('2_Mức tự động'!L5:L8,"Đạt")</f>
        <v>2</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7109375" defaultRowHeight="15" x14ac:dyDescent="0.25"/>
  <cols>
    <col min="1" max="1" width="32" customWidth="1"/>
    <col min="2" max="2" width="30" customWidth="1"/>
    <col min="3" max="3" width="80" customWidth="1"/>
    <col min="4" max="4" width="40" customWidth="1"/>
  </cols>
  <sheetData>
    <row r="1" spans="1:4" ht="17.25" customHeight="1" x14ac:dyDescent="0.25">
      <c r="A1" s="1" t="s">
        <v>247</v>
      </c>
    </row>
    <row r="2" spans="1:4" ht="15" customHeight="1" x14ac:dyDescent="0.25">
      <c r="A2" s="2"/>
    </row>
    <row r="4" spans="1:4" ht="15" customHeight="1" x14ac:dyDescent="0.25">
      <c r="A4" s="9" t="s">
        <v>248</v>
      </c>
      <c r="B4" s="9" t="s">
        <v>249</v>
      </c>
      <c r="C4" s="9" t="s">
        <v>250</v>
      </c>
      <c r="D4" s="9" t="s">
        <v>251</v>
      </c>
    </row>
    <row r="5" spans="1:4" ht="15" customHeight="1" x14ac:dyDescent="0.25">
      <c r="A5" s="10" t="s">
        <v>252</v>
      </c>
      <c r="B5">
        <v>20</v>
      </c>
      <c r="C5" s="26" t="s">
        <v>253</v>
      </c>
      <c r="D5" s="27"/>
    </row>
    <row r="6" spans="1:4" ht="15" customHeight="1" x14ac:dyDescent="0.25">
      <c r="A6" s="10" t="s">
        <v>254</v>
      </c>
      <c r="B6">
        <v>20</v>
      </c>
      <c r="C6" s="26" t="s">
        <v>255</v>
      </c>
      <c r="D6" s="27"/>
    </row>
    <row r="7" spans="1:4" ht="15" customHeight="1" x14ac:dyDescent="0.25">
      <c r="A7" s="10" t="s">
        <v>256</v>
      </c>
      <c r="B7">
        <v>25</v>
      </c>
      <c r="C7" s="26" t="s">
        <v>257</v>
      </c>
      <c r="D7" s="27"/>
    </row>
    <row r="8" spans="1:4" ht="15" customHeight="1" x14ac:dyDescent="0.25">
      <c r="A8" s="10" t="s">
        <v>258</v>
      </c>
      <c r="B8">
        <v>15</v>
      </c>
      <c r="C8" s="26" t="s">
        <v>259</v>
      </c>
      <c r="D8" s="27"/>
    </row>
    <row r="9" spans="1:4" ht="15" customHeight="1" x14ac:dyDescent="0.25">
      <c r="A9" s="10" t="s">
        <v>260</v>
      </c>
      <c r="B9">
        <v>20</v>
      </c>
      <c r="C9" s="26" t="s">
        <v>261</v>
      </c>
      <c r="D9" s="27"/>
    </row>
    <row r="10" spans="1:4" ht="15" customHeight="1" x14ac:dyDescent="0.25">
      <c r="A10" s="8" t="s">
        <v>262</v>
      </c>
      <c r="B10">
        <f>SUM(B5:B9)</f>
        <v>100</v>
      </c>
      <c r="D10" s="11">
        <f>SUM(D5:D9)</f>
        <v>0</v>
      </c>
    </row>
    <row r="12" spans="1:4" ht="15" customHeight="1" x14ac:dyDescent="0.25">
      <c r="A12" s="8"/>
      <c r="D12" s="27"/>
    </row>
    <row r="15" spans="1:4" ht="15" customHeight="1" x14ac:dyDescent="0.25">
      <c r="A15" s="28" t="s">
        <v>263</v>
      </c>
    </row>
    <row r="16" spans="1:4" ht="15" customHeight="1" x14ac:dyDescent="0.25">
      <c r="A16" s="9" t="s">
        <v>248</v>
      </c>
      <c r="B16" s="9" t="s">
        <v>264</v>
      </c>
      <c r="C16" s="9" t="s">
        <v>265</v>
      </c>
      <c r="D16" s="9" t="s">
        <v>266</v>
      </c>
    </row>
    <row r="17" spans="1:4" ht="45.75" customHeight="1" x14ac:dyDescent="0.25">
      <c r="A17" s="29" t="s">
        <v>267</v>
      </c>
      <c r="B17" s="30" t="s">
        <v>268</v>
      </c>
      <c r="C17" s="30" t="s">
        <v>269</v>
      </c>
      <c r="D17" s="30" t="s">
        <v>270</v>
      </c>
    </row>
    <row r="18" spans="1:4" ht="45.75" customHeight="1" x14ac:dyDescent="0.25">
      <c r="A18" s="29" t="s">
        <v>271</v>
      </c>
      <c r="B18" s="30" t="s">
        <v>272</v>
      </c>
      <c r="C18" s="30" t="s">
        <v>273</v>
      </c>
      <c r="D18" s="30" t="s">
        <v>274</v>
      </c>
    </row>
    <row r="19" spans="1:4" ht="45.75" customHeight="1" x14ac:dyDescent="0.25">
      <c r="A19" s="29" t="s">
        <v>275</v>
      </c>
      <c r="B19" s="30" t="s">
        <v>276</v>
      </c>
      <c r="C19" s="30" t="s">
        <v>277</v>
      </c>
      <c r="D19" s="30" t="s">
        <v>278</v>
      </c>
    </row>
    <row r="20" spans="1:4" ht="45.75" customHeight="1" x14ac:dyDescent="0.25">
      <c r="A20" s="29" t="s">
        <v>279</v>
      </c>
      <c r="B20" s="30" t="s">
        <v>280</v>
      </c>
      <c r="C20" s="30" t="s">
        <v>281</v>
      </c>
      <c r="D20" s="30" t="s">
        <v>282</v>
      </c>
    </row>
    <row r="22" spans="1:4" ht="15" customHeight="1" x14ac:dyDescent="0.25">
      <c r="A22" s="20" t="s">
        <v>283</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Louis Le</cp:lastModifiedBy>
  <cp:revision>0</cp:revision>
  <dcterms:created xsi:type="dcterms:W3CDTF">2026-10-04T05:24:07Z</dcterms:created>
  <dcterms:modified xsi:type="dcterms:W3CDTF">2026-10-16T17:15:32Z</dcterms:modified>
  <dc:language>en-US</dc:language>
</cp:coreProperties>
</file>